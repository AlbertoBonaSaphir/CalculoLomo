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lidadgrafica0.sharepoint.com/sites/presupuestos/Documentos compartidos/General/"/>
    </mc:Choice>
  </mc:AlternateContent>
  <xr:revisionPtr revIDLastSave="50" documentId="8_{DABC0BD6-C0C0-4ED8-8607-FE44B2B91740}" xr6:coauthVersionLast="47" xr6:coauthVersionMax="47" xr10:uidLastSave="{466EEA43-57B5-4492-997F-9505308729FB}"/>
  <bookViews>
    <workbookView xWindow="-38520" yWindow="-120" windowWidth="38640" windowHeight="15840" tabRatio="374" xr2:uid="{00000000-000D-0000-FFFF-FFFF00000000}"/>
  </bookViews>
  <sheets>
    <sheet name="LOM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6" i="1" l="1"/>
  <c r="K11" i="1" s="1"/>
  <c r="W22" i="1"/>
  <c r="Y22" i="1" s="1"/>
  <c r="T22" i="1"/>
  <c r="Z22" i="1" s="1"/>
  <c r="AC19" i="1"/>
  <c r="V11" i="1" s="1"/>
  <c r="AD20" i="1" s="1"/>
  <c r="M22" i="1"/>
  <c r="AJ12" i="1"/>
  <c r="M19" i="1"/>
  <c r="M14" i="1"/>
  <c r="S11" i="1" l="1"/>
  <c r="X17" i="1" s="1"/>
  <c r="M11" i="1"/>
  <c r="R7" i="1"/>
  <c r="Y11" i="1"/>
  <c r="Z7" i="1" s="1"/>
  <c r="X21" i="1" s="1"/>
  <c r="M21" i="1" l="1"/>
  <c r="U7" i="1"/>
  <c r="AH16" i="1"/>
  <c r="M15" i="1" s="1"/>
  <c r="M16" i="1" s="1"/>
  <c r="M20" i="1"/>
  <c r="AI16" i="1"/>
  <c r="M23" i="1" l="1"/>
</calcChain>
</file>

<file path=xl/sharedStrings.xml><?xml version="1.0" encoding="utf-8"?>
<sst xmlns="http://schemas.openxmlformats.org/spreadsheetml/2006/main" count="44" uniqueCount="42">
  <si>
    <t>Cáculo de lomo (datos en milímetros)</t>
  </si>
  <si>
    <t>Tamaño</t>
  </si>
  <si>
    <t>Páginas interiores</t>
  </si>
  <si>
    <t>ancho</t>
  </si>
  <si>
    <t>alto</t>
  </si>
  <si>
    <t>grs cub.</t>
  </si>
  <si>
    <t>FRESADO/PUR</t>
  </si>
  <si>
    <t>RUSTICA COSIDA</t>
  </si>
  <si>
    <t>TAPA DURA</t>
  </si>
  <si>
    <t>Datos papel interior</t>
  </si>
  <si>
    <t>papel</t>
  </si>
  <si>
    <t>gramaje</t>
  </si>
  <si>
    <t>M</t>
  </si>
  <si>
    <t>x</t>
  </si>
  <si>
    <t>Rústica: peso de un ejemplar (en gramos)</t>
  </si>
  <si>
    <t>mm cartón</t>
  </si>
  <si>
    <t>gramos</t>
  </si>
  <si>
    <t>interiores . . . . . . . . . . . . . . . . . . . . . . . . . . . . . . . . .</t>
  </si>
  <si>
    <t>cubierta plastificada 1 cara . . . . . . . . . . . . . . . . . . .</t>
  </si>
  <si>
    <r>
      <t>TOTAL GRAMOS x EJEMPLAR</t>
    </r>
    <r>
      <rPr>
        <b/>
        <sz val="10"/>
        <rFont val="Trebuchet MS"/>
        <family val="2"/>
      </rPr>
      <t xml:space="preserve"> </t>
    </r>
    <r>
      <rPr>
        <b/>
        <sz val="12"/>
        <rFont val="Trebuchet MS"/>
        <family val="2"/>
      </rPr>
      <t>RUSTICA</t>
    </r>
    <r>
      <rPr>
        <b/>
        <sz val="10"/>
        <rFont val="Trebuchet MS"/>
        <family val="2"/>
      </rPr>
      <t>. . . . . . . . . . . . . . . . . . . . . . .</t>
    </r>
  </si>
  <si>
    <t xml:space="preserve">    </t>
  </si>
  <si>
    <t>Tapa dura: peso de un ejemplar (en gramos)</t>
  </si>
  <si>
    <t>Pestaña para pegar</t>
  </si>
  <si>
    <t>interiores . . . . . . . . . . . . . . . . . . . . . . . . . . . . . .</t>
  </si>
  <si>
    <t>Franquicia</t>
  </si>
  <si>
    <t>Lomo</t>
  </si>
  <si>
    <t>forro cub. plastificada 1 cara . . . . . . . . . . . . . . . . .</t>
  </si>
  <si>
    <t>Contracub.</t>
  </si>
  <si>
    <t>Cubierta</t>
  </si>
  <si>
    <t xml:space="preserve">cartón bigris de </t>
  </si>
  <si>
    <t xml:space="preserve">  milímetros . . . . . . . . . . . .</t>
  </si>
  <si>
    <t>guardas en</t>
  </si>
  <si>
    <t xml:space="preserve">  gramos . . . . . . . . . . . . . .</t>
  </si>
  <si>
    <r>
      <t>TOTAL GRAMOS x EJEMPLAR</t>
    </r>
    <r>
      <rPr>
        <b/>
        <sz val="10"/>
        <rFont val="Trebuchet MS"/>
        <family val="2"/>
      </rPr>
      <t xml:space="preserve"> </t>
    </r>
    <r>
      <rPr>
        <b/>
        <sz val="12"/>
        <rFont val="Trebuchet MS"/>
        <family val="2"/>
      </rPr>
      <t>TAPA DURA</t>
    </r>
    <r>
      <rPr>
        <b/>
        <sz val="10"/>
        <rFont val="Trebuchet MS"/>
        <family val="2"/>
      </rPr>
      <t>. . . . . . . . . . . . . . . . . . . . . . .</t>
    </r>
  </si>
  <si>
    <t>calibre pág</t>
  </si>
  <si>
    <t>cubierta</t>
  </si>
  <si>
    <t>plastificado</t>
  </si>
  <si>
    <t>g</t>
  </si>
  <si>
    <t>offset</t>
  </si>
  <si>
    <t>brillo</t>
  </si>
  <si>
    <t>mate</t>
  </si>
  <si>
    <t>DESARROLLO FORRO TAPA DURA en mm.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</si>
</sst>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6" formatCode="#,##0.0"/>
    <numFmt numFmtId="167" formatCode="0.0"/>
    <numFmt numFmtId="171" formatCode="_-* #,##0.00000\ _€_-;\-* #,##0.00000\ _€_-;_-* &quot;-&quot;??\ _€_-;_-@_-"/>
  </numFmts>
  <fonts count="30" x14ac:knownFonts="1">
    <font>
      <sz val="11"/>
      <color theme="1"/>
      <name val="Calibri"/>
      <family val="2"/>
      <scheme val="minor"/>
    </font>
    <font>
      <sz val="10"/>
      <name val="Trebuchet MS"/>
      <family val="2"/>
    </font>
    <font>
      <b/>
      <sz val="20"/>
      <color indexed="9"/>
      <name val="Arial"/>
      <family val="2"/>
    </font>
    <font>
      <sz val="8"/>
      <name val="Arial"/>
      <family val="2"/>
    </font>
    <font>
      <b/>
      <sz val="9"/>
      <name val="Trebuchet MS"/>
      <family val="2"/>
    </font>
    <font>
      <b/>
      <sz val="10"/>
      <name val="Trebuchet MS"/>
      <family val="2"/>
    </font>
    <font>
      <sz val="10"/>
      <name val="Arial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b/>
      <sz val="18"/>
      <name val="Trebuchet MS"/>
      <family val="2"/>
    </font>
    <font>
      <sz val="7"/>
      <name val="Arial"/>
      <family val="2"/>
    </font>
    <font>
      <b/>
      <sz val="8"/>
      <color indexed="9"/>
      <name val="Trebuchet MS"/>
      <family val="2"/>
    </font>
    <font>
      <b/>
      <sz val="8"/>
      <name val="Trebuchet MS"/>
      <family val="2"/>
    </font>
    <font>
      <b/>
      <sz val="10"/>
      <color indexed="9"/>
      <name val="Trebuchet MS"/>
      <family val="2"/>
    </font>
    <font>
      <b/>
      <sz val="7"/>
      <name val="Trebuchet MS"/>
      <family val="2"/>
    </font>
    <font>
      <b/>
      <sz val="12"/>
      <color indexed="9"/>
      <name val="Trebuchet MS"/>
      <family val="2"/>
    </font>
    <font>
      <b/>
      <sz val="10"/>
      <color indexed="18"/>
      <name val="Trebuchet MS"/>
      <family val="2"/>
    </font>
    <font>
      <b/>
      <sz val="8"/>
      <name val="Arial"/>
      <family val="2"/>
    </font>
    <font>
      <b/>
      <sz val="8"/>
      <name val="Arial Narrow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rebuchet MS"/>
      <family val="2"/>
    </font>
    <font>
      <sz val="11"/>
      <name val="Calibri"/>
      <family val="2"/>
      <scheme val="minor"/>
    </font>
    <font>
      <b/>
      <sz val="10"/>
      <color theme="0"/>
      <name val="Trebuchet MS"/>
      <family val="2"/>
    </font>
    <font>
      <sz val="8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Consolas"/>
      <family val="3"/>
    </font>
    <font>
      <sz val="10"/>
      <color theme="1"/>
      <name val="Consolas"/>
      <family val="3"/>
    </font>
    <font>
      <sz val="11"/>
      <color theme="8" tint="0.39997558519241921"/>
      <name val="Calibri"/>
      <family val="2"/>
      <scheme val="minor"/>
    </font>
    <font>
      <sz val="12"/>
      <color theme="8" tint="0.3999755851924192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9" fillId="0" borderId="0" applyFont="0" applyFill="0" applyBorder="0" applyAlignment="0" applyProtection="0"/>
  </cellStyleXfs>
  <cellXfs count="1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0" fillId="0" borderId="4" xfId="0" applyBorder="1"/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4" xfId="0" applyFont="1" applyBorder="1" applyAlignment="1">
      <alignment vertical="center" wrapText="1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/>
    <xf numFmtId="4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7" fillId="0" borderId="7" xfId="0" applyFont="1" applyBorder="1"/>
    <xf numFmtId="0" fontId="12" fillId="0" borderId="8" xfId="0" applyFont="1" applyBorder="1" applyAlignment="1">
      <alignment horizontal="center" vertical="center" textRotation="90"/>
    </xf>
    <xf numFmtId="0" fontId="17" fillId="0" borderId="2" xfId="0" applyFont="1" applyBorder="1" applyAlignment="1">
      <alignment horizontal="center"/>
    </xf>
    <xf numFmtId="0" fontId="12" fillId="0" borderId="2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9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7" fontId="7" fillId="0" borderId="12" xfId="0" applyNumberFormat="1" applyFont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1" fontId="17" fillId="0" borderId="13" xfId="0" applyNumberFormat="1" applyFont="1" applyBorder="1" applyAlignment="1">
      <alignment horizontal="center"/>
    </xf>
    <xf numFmtId="1" fontId="17" fillId="0" borderId="14" xfId="0" applyNumberFormat="1" applyFont="1" applyBorder="1" applyAlignment="1">
      <alignment horizontal="center"/>
    </xf>
    <xf numFmtId="1" fontId="17" fillId="0" borderId="15" xfId="0" applyNumberFormat="1" applyFont="1" applyBorder="1" applyAlignment="1">
      <alignment horizontal="center"/>
    </xf>
    <xf numFmtId="1" fontId="18" fillId="0" borderId="16" xfId="0" applyNumberFormat="1" applyFont="1" applyBorder="1" applyAlignment="1">
      <alignment horizontal="center"/>
    </xf>
    <xf numFmtId="1" fontId="12" fillId="0" borderId="18" xfId="0" applyNumberFormat="1" applyFont="1" applyBorder="1" applyAlignment="1">
      <alignment vertical="center" wrapText="1"/>
    </xf>
    <xf numFmtId="1" fontId="12" fillId="0" borderId="0" xfId="0" applyNumberFormat="1" applyFont="1" applyAlignment="1">
      <alignment vertical="center" wrapText="1"/>
    </xf>
    <xf numFmtId="1" fontId="12" fillId="0" borderId="19" xfId="0" applyNumberFormat="1" applyFont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>
      <alignment vertical="center"/>
    </xf>
    <xf numFmtId="0" fontId="5" fillId="0" borderId="0" xfId="0" applyFont="1" applyAlignment="1">
      <alignment vertical="top"/>
    </xf>
    <xf numFmtId="0" fontId="20" fillId="0" borderId="0" xfId="0" applyFont="1"/>
    <xf numFmtId="0" fontId="8" fillId="7" borderId="3" xfId="0" applyFont="1" applyFill="1" applyBorder="1" applyAlignment="1" applyProtection="1">
      <alignment horizontal="center"/>
      <protection locked="0"/>
    </xf>
    <xf numFmtId="0" fontId="22" fillId="0" borderId="0" xfId="0" applyFont="1"/>
    <xf numFmtId="0" fontId="23" fillId="0" borderId="0" xfId="0" applyFont="1" applyAlignment="1">
      <alignment vertical="top"/>
    </xf>
    <xf numFmtId="0" fontId="24" fillId="0" borderId="0" xfId="0" applyFont="1"/>
    <xf numFmtId="0" fontId="3" fillId="0" borderId="0" xfId="0" applyFont="1" applyAlignment="1">
      <alignment horizontal="center" textRotation="90"/>
    </xf>
    <xf numFmtId="0" fontId="3" fillId="0" borderId="2" xfId="0" applyFont="1" applyBorder="1" applyAlignment="1">
      <alignment horizontal="center" textRotation="90"/>
    </xf>
    <xf numFmtId="0" fontId="3" fillId="0" borderId="1" xfId="0" applyFont="1" applyBorder="1" applyAlignment="1">
      <alignment horizontal="center" textRotation="90"/>
    </xf>
    <xf numFmtId="0" fontId="3" fillId="0" borderId="0" xfId="0" applyFont="1" applyAlignment="1">
      <alignment horizontal="center" textRotation="3"/>
    </xf>
    <xf numFmtId="1" fontId="3" fillId="0" borderId="17" xfId="0" applyNumberFormat="1" applyFont="1" applyBorder="1" applyAlignment="1">
      <alignment horizont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167" fontId="8" fillId="0" borderId="23" xfId="0" applyNumberFormat="1" applyFont="1" applyBorder="1" applyAlignment="1">
      <alignment horizontal="center" vertical="center"/>
    </xf>
    <xf numFmtId="167" fontId="8" fillId="0" borderId="4" xfId="0" applyNumberFormat="1" applyFont="1" applyBorder="1" applyAlignment="1">
      <alignment horizontal="center" vertical="center"/>
    </xf>
    <xf numFmtId="167" fontId="8" fillId="0" borderId="24" xfId="0" applyNumberFormat="1" applyFont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167" fontId="8" fillId="0" borderId="20" xfId="0" applyNumberFormat="1" applyFont="1" applyBorder="1" applyAlignment="1">
      <alignment horizontal="center" vertical="center" wrapText="1"/>
    </xf>
    <xf numFmtId="167" fontId="8" fillId="0" borderId="21" xfId="0" applyNumberFormat="1" applyFont="1" applyBorder="1" applyAlignment="1">
      <alignment horizontal="center" vertical="center" wrapText="1"/>
    </xf>
    <xf numFmtId="167" fontId="8" fillId="0" borderId="2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6" fillId="4" borderId="0" xfId="0" applyFont="1" applyFill="1" applyAlignment="1">
      <alignment horizontal="left" indent="1"/>
    </xf>
    <xf numFmtId="0" fontId="12" fillId="0" borderId="2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" fontId="12" fillId="0" borderId="23" xfId="0" applyNumberFormat="1" applyFont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1" fontId="12" fillId="0" borderId="24" xfId="0" applyNumberFormat="1" applyFont="1" applyBorder="1" applyAlignment="1">
      <alignment horizontal="center" vertical="center" wrapText="1"/>
    </xf>
    <xf numFmtId="1" fontId="17" fillId="0" borderId="17" xfId="0" applyNumberFormat="1" applyFont="1" applyBorder="1" applyAlignment="1">
      <alignment horizontal="center" textRotation="90"/>
    </xf>
    <xf numFmtId="1" fontId="12" fillId="0" borderId="26" xfId="0" applyNumberFormat="1" applyFont="1" applyBorder="1" applyAlignment="1">
      <alignment horizontal="center" vertical="center" textRotation="90"/>
    </xf>
    <xf numFmtId="1" fontId="17" fillId="0" borderId="18" xfId="0" applyNumberFormat="1" applyFont="1" applyBorder="1" applyAlignment="1">
      <alignment horizontal="center"/>
    </xf>
    <xf numFmtId="1" fontId="17" fillId="0" borderId="0" xfId="0" applyNumberFormat="1" applyFont="1" applyAlignment="1">
      <alignment horizontal="center"/>
    </xf>
    <xf numFmtId="1" fontId="17" fillId="0" borderId="19" xfId="0" applyNumberFormat="1" applyFont="1" applyBorder="1" applyAlignment="1">
      <alignment horizontal="center"/>
    </xf>
    <xf numFmtId="167" fontId="12" fillId="0" borderId="17" xfId="0" applyNumberFormat="1" applyFont="1" applyBorder="1" applyAlignment="1">
      <alignment horizontal="center" vertical="center" textRotation="90"/>
    </xf>
    <xf numFmtId="167" fontId="3" fillId="0" borderId="27" xfId="0" applyNumberFormat="1" applyFont="1" applyBorder="1" applyAlignment="1">
      <alignment vertical="center" textRotation="90"/>
    </xf>
    <xf numFmtId="0" fontId="13" fillId="2" borderId="0" xfId="0" applyFont="1" applyFill="1" applyAlignment="1">
      <alignment horizontal="left" indent="1"/>
    </xf>
    <xf numFmtId="0" fontId="8" fillId="7" borderId="9" xfId="0" applyFont="1" applyFill="1" applyBorder="1" applyAlignment="1" applyProtection="1">
      <alignment horizontal="center" vertical="center"/>
      <protection locked="0"/>
    </xf>
    <xf numFmtId="0" fontId="8" fillId="7" borderId="11" xfId="0" applyFont="1" applyFill="1" applyBorder="1" applyAlignment="1" applyProtection="1">
      <alignment horizontal="center" vertical="center"/>
      <protection locked="0"/>
    </xf>
    <xf numFmtId="0" fontId="11" fillId="5" borderId="20" xfId="0" applyFont="1" applyFill="1" applyBorder="1" applyAlignment="1">
      <alignment horizontal="center" vertical="center"/>
    </xf>
    <xf numFmtId="0" fontId="11" fillId="5" borderId="2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166" fontId="7" fillId="7" borderId="13" xfId="1" applyNumberFormat="1" applyFont="1" applyFill="1" applyBorder="1" applyAlignment="1" applyProtection="1">
      <alignment horizontal="center" vertical="center"/>
      <protection locked="0"/>
    </xf>
    <xf numFmtId="166" fontId="7" fillId="7" borderId="15" xfId="1" applyNumberFormat="1" applyFont="1" applyFill="1" applyBorder="1" applyAlignment="1" applyProtection="1">
      <alignment horizontal="center" vertical="center"/>
      <protection locked="0"/>
    </xf>
    <xf numFmtId="166" fontId="7" fillId="7" borderId="23" xfId="1" applyNumberFormat="1" applyFont="1" applyFill="1" applyBorder="1" applyAlignment="1" applyProtection="1">
      <alignment horizontal="center" vertical="center"/>
      <protection locked="0"/>
    </xf>
    <xf numFmtId="166" fontId="7" fillId="7" borderId="24" xfId="1" applyNumberFormat="1" applyFont="1" applyFill="1" applyBorder="1" applyAlignment="1" applyProtection="1">
      <alignment horizontal="center" vertical="center"/>
      <protection locked="0"/>
    </xf>
    <xf numFmtId="3" fontId="7" fillId="0" borderId="0" xfId="1" applyNumberFormat="1" applyFont="1" applyBorder="1" applyAlignment="1" applyProtection="1">
      <alignment horizontal="center" vertical="center"/>
    </xf>
    <xf numFmtId="166" fontId="7" fillId="7" borderId="16" xfId="1" applyNumberFormat="1" applyFont="1" applyFill="1" applyBorder="1" applyAlignment="1" applyProtection="1">
      <alignment horizontal="center" vertical="center"/>
      <protection locked="0"/>
    </xf>
    <xf numFmtId="166" fontId="7" fillId="7" borderId="27" xfId="1" applyNumberFormat="1" applyFont="1" applyFill="1" applyBorder="1" applyAlignment="1" applyProtection="1">
      <alignment horizontal="center" vertical="center"/>
      <protection locked="0"/>
    </xf>
    <xf numFmtId="0" fontId="11" fillId="8" borderId="13" xfId="0" applyFont="1" applyFill="1" applyBorder="1" applyAlignment="1">
      <alignment horizontal="center" vertical="center"/>
    </xf>
    <xf numFmtId="0" fontId="11" fillId="8" borderId="15" xfId="0" applyFont="1" applyFill="1" applyBorder="1" applyAlignment="1">
      <alignment horizontal="center" vertical="center"/>
    </xf>
    <xf numFmtId="166" fontId="7" fillId="7" borderId="14" xfId="1" applyNumberFormat="1" applyFont="1" applyFill="1" applyBorder="1" applyAlignment="1" applyProtection="1">
      <alignment horizontal="center" vertical="center"/>
      <protection locked="0"/>
    </xf>
    <xf numFmtId="166" fontId="7" fillId="7" borderId="4" xfId="1" applyNumberFormat="1" applyFont="1" applyFill="1" applyBorder="1" applyAlignment="1" applyProtection="1">
      <alignment horizontal="center" vertical="center"/>
      <protection locked="0"/>
    </xf>
    <xf numFmtId="164" fontId="8" fillId="0" borderId="12" xfId="1" applyFont="1" applyBorder="1" applyAlignment="1">
      <alignment horizontal="right" vertical="center"/>
    </xf>
    <xf numFmtId="164" fontId="8" fillId="0" borderId="5" xfId="1" applyFont="1" applyBorder="1" applyAlignment="1">
      <alignment horizontal="right" vertical="center"/>
    </xf>
    <xf numFmtId="164" fontId="8" fillId="0" borderId="6" xfId="1" applyFont="1" applyBorder="1" applyAlignment="1">
      <alignment horizontal="right" vertical="center"/>
    </xf>
    <xf numFmtId="164" fontId="8" fillId="0" borderId="25" xfId="1" applyFont="1" applyBorder="1" applyAlignment="1">
      <alignment horizontal="right"/>
    </xf>
    <xf numFmtId="164" fontId="8" fillId="0" borderId="7" xfId="1" applyFont="1" applyBorder="1" applyAlignment="1">
      <alignment horizontal="right"/>
    </xf>
    <xf numFmtId="164" fontId="8" fillId="0" borderId="8" xfId="1" applyFont="1" applyBorder="1" applyAlignment="1">
      <alignment horizontal="right"/>
    </xf>
    <xf numFmtId="164" fontId="15" fillId="2" borderId="20" xfId="1" applyFont="1" applyFill="1" applyBorder="1" applyAlignment="1">
      <alignment horizontal="right"/>
    </xf>
    <xf numFmtId="164" fontId="15" fillId="2" borderId="21" xfId="1" applyFont="1" applyFill="1" applyBorder="1" applyAlignment="1">
      <alignment horizontal="right"/>
    </xf>
    <xf numFmtId="164" fontId="15" fillId="2" borderId="22" xfId="1" applyFont="1" applyFill="1" applyBorder="1" applyAlignment="1">
      <alignment horizontal="right"/>
    </xf>
    <xf numFmtId="164" fontId="0" fillId="0" borderId="0" xfId="1" applyFont="1" applyAlignment="1">
      <alignment horizontal="right"/>
    </xf>
    <xf numFmtId="164" fontId="8" fillId="0" borderId="0" xfId="1" applyFont="1" applyAlignment="1">
      <alignment horizontal="right"/>
    </xf>
    <xf numFmtId="164" fontId="8" fillId="0" borderId="25" xfId="1" applyFont="1" applyBorder="1" applyAlignment="1">
      <alignment horizontal="right" vertical="center"/>
    </xf>
    <xf numFmtId="164" fontId="8" fillId="0" borderId="7" xfId="1" applyFont="1" applyBorder="1" applyAlignment="1">
      <alignment horizontal="right" vertical="center"/>
    </xf>
    <xf numFmtId="164" fontId="8" fillId="0" borderId="8" xfId="1" applyFont="1" applyBorder="1" applyAlignment="1">
      <alignment horizontal="right" vertical="center"/>
    </xf>
    <xf numFmtId="164" fontId="21" fillId="9" borderId="20" xfId="1" applyFont="1" applyFill="1" applyBorder="1" applyAlignment="1">
      <alignment horizontal="right" vertical="center"/>
    </xf>
    <xf numFmtId="164" fontId="21" fillId="9" borderId="21" xfId="1" applyFont="1" applyFill="1" applyBorder="1" applyAlignment="1">
      <alignment horizontal="right" vertical="center"/>
    </xf>
    <xf numFmtId="164" fontId="21" fillId="9" borderId="22" xfId="1" applyFont="1" applyFill="1" applyBorder="1" applyAlignment="1">
      <alignment horizontal="right" vertical="center"/>
    </xf>
    <xf numFmtId="171" fontId="26" fillId="0" borderId="3" xfId="1" applyNumberFormat="1" applyFont="1" applyBorder="1" applyAlignment="1">
      <alignment horizontal="right"/>
    </xf>
    <xf numFmtId="171" fontId="26" fillId="0" borderId="3" xfId="1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top"/>
    </xf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25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14" fillId="0" borderId="0" xfId="0" applyFont="1" applyAlignment="1">
      <alignment vertical="center"/>
    </xf>
    <xf numFmtId="0" fontId="28" fillId="0" borderId="0" xfId="0" applyFont="1"/>
    <xf numFmtId="0" fontId="29" fillId="0" borderId="0" xfId="0" applyFont="1"/>
    <xf numFmtId="0" fontId="28" fillId="0" borderId="0" xfId="0" applyFont="1" applyAlignment="1">
      <alignment horizontal="center"/>
    </xf>
    <xf numFmtId="167" fontId="28" fillId="0" borderId="0" xfId="0" applyNumberFormat="1" applyFont="1"/>
    <xf numFmtId="0" fontId="26" fillId="0" borderId="6" xfId="0" applyFont="1" applyBorder="1" applyAlignment="1">
      <alignment horizontal="right"/>
    </xf>
    <xf numFmtId="0" fontId="26" fillId="0" borderId="6" xfId="0" applyFont="1" applyBorder="1" applyAlignment="1">
      <alignment horizontal="right" vertical="center"/>
    </xf>
    <xf numFmtId="171" fontId="27" fillId="0" borderId="12" xfId="1" applyNumberFormat="1" applyFont="1" applyBorder="1" applyAlignment="1">
      <alignment horizontal="right"/>
    </xf>
    <xf numFmtId="171" fontId="26" fillId="0" borderId="12" xfId="1" applyNumberFormat="1" applyFont="1" applyBorder="1" applyAlignment="1">
      <alignment horizontal="right" vertical="center"/>
    </xf>
    <xf numFmtId="0" fontId="26" fillId="0" borderId="11" xfId="0" applyFont="1" applyBorder="1" applyAlignment="1">
      <alignment horizontal="right"/>
    </xf>
    <xf numFmtId="0" fontId="26" fillId="0" borderId="28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6" fillId="0" borderId="8" xfId="0" applyFont="1" applyBorder="1" applyAlignment="1">
      <alignment horizontal="right"/>
    </xf>
    <xf numFmtId="171" fontId="26" fillId="0" borderId="29" xfId="1" applyNumberFormat="1" applyFont="1" applyBorder="1" applyAlignment="1">
      <alignment horizontal="right"/>
    </xf>
    <xf numFmtId="171" fontId="27" fillId="0" borderId="25" xfId="1" applyNumberFormat="1" applyFont="1" applyBorder="1" applyAlignment="1">
      <alignment horizontal="right"/>
    </xf>
  </cellXfs>
  <cellStyles count="2">
    <cellStyle name="Millares" xfId="1" builtinId="3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numFmt numFmtId="171" formatCode="_-* #,##0.00000\ _€_-;\-* #,##0.00000\ _€_-;_-* &quot;-&quot;??\ _€_-;_-@_-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olas"/>
        <family val="3"/>
        <scheme val="none"/>
      </font>
      <numFmt numFmtId="171" formatCode="_-* #,##0.00000\ _€_-;\-* #,##0.00000\ _€_-;_-* &quot;-&quot;??\ _€_-;_-@_-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olas"/>
        <family val="3"/>
        <scheme val="none"/>
      </font>
      <numFmt numFmtId="171" formatCode="_-* #,##0.00000\ _€_-;\-* #,##0.00000\ _€_-;_-* &quot;-&quot;??\ _€_-;_-@_-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nsolas"/>
        <family val="3"/>
        <scheme val="none"/>
      </font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9"/>
      </font>
      <fill>
        <patternFill>
          <bgColor indexed="36"/>
        </patternFill>
      </fill>
    </dxf>
    <dxf>
      <font>
        <condense val="0"/>
        <extend val="0"/>
        <color indexed="9"/>
      </font>
      <fill>
        <patternFill>
          <bgColor indexed="36"/>
        </patternFill>
      </fill>
    </dxf>
    <dxf>
      <numFmt numFmtId="4" formatCode="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  <dxf>
      <numFmt numFmtId="4" formatCode="#,##0.00"/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8D6473-E814-4E01-A29B-5BF86E8711B3}" name="CARTON" displayName="CARTON" ref="AH3:AI12" totalsRowShown="0" headerRowDxfId="9" dataDxfId="10">
  <tableColumns count="2">
    <tableColumn id="1" xr3:uid="{076915B0-8AFF-4BFB-B7D5-12987F660E43}" name="mm cartón" dataDxfId="12"/>
    <tableColumn id="2" xr3:uid="{1731E42E-07B5-417B-969B-BB02D4E79E78}" name="gramos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D24A9-D787-4788-90B5-CEE24404EF12}" name="Tabla2" displayName="Tabla2" ref="AG17:AJ28" totalsRowShown="0" headerRowBorderDxfId="5" tableBorderDxfId="6" totalsRowBorderDxfId="4">
  <tableColumns count="4">
    <tableColumn id="1" xr3:uid="{58F6F018-9268-4D91-BFDE-E98FDA4031DE}" name="g" dataDxfId="3"/>
    <tableColumn id="2" xr3:uid="{FC4F9AB5-C2FC-4866-A108-7D7B4FDF9A7B}" name="offset" dataDxfId="2" dataCellStyle="Millares"/>
    <tableColumn id="3" xr3:uid="{79A816C6-F6E6-4D35-9419-351CDAC37930}" name="brillo" dataDxfId="1" dataCellStyle="Millares"/>
    <tableColumn id="4" xr3:uid="{89A3FFEE-9862-4039-8420-D5FD0B355BF9}" name="mate" dataDxfId="0" dataCellStyle="Milla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B28"/>
  <sheetViews>
    <sheetView tabSelected="1" zoomScaleNormal="100" workbookViewId="0">
      <selection activeCell="AF14" sqref="AF14"/>
    </sheetView>
  </sheetViews>
  <sheetFormatPr baseColWidth="10" defaultColWidth="11.42578125" defaultRowHeight="15" x14ac:dyDescent="0.25"/>
  <cols>
    <col min="1" max="1" width="4.5703125" customWidth="1"/>
    <col min="2" max="2" width="5.85546875" customWidth="1"/>
    <col min="3" max="3" width="3.140625" customWidth="1"/>
    <col min="4" max="5" width="3.28515625" customWidth="1"/>
    <col min="6" max="6" width="5.85546875" customWidth="1"/>
    <col min="7" max="8" width="2.28515625" customWidth="1"/>
    <col min="9" max="9" width="9.42578125" customWidth="1"/>
    <col min="10" max="10" width="2.5703125" style="1" customWidth="1"/>
    <col min="11" max="11" width="9.28515625" style="1" customWidth="1"/>
    <col min="12" max="13" width="2.28515625" style="1" customWidth="1"/>
    <col min="14" max="14" width="8.7109375" style="1" customWidth="1"/>
    <col min="15" max="16" width="2.28515625" style="1" customWidth="1"/>
    <col min="17" max="18" width="8.5703125" style="1" customWidth="1"/>
    <col min="19" max="30" width="4.42578125" style="1" customWidth="1"/>
    <col min="31" max="31" width="5" style="1" customWidth="1"/>
    <col min="32" max="32" width="6.140625" style="1" customWidth="1"/>
    <col min="33" max="33" width="14.5703125" style="1" customWidth="1"/>
    <col min="34" max="34" width="14.5703125" customWidth="1"/>
    <col min="35" max="36" width="14.5703125" style="1" customWidth="1"/>
    <col min="37" max="37" width="10.7109375" style="1" customWidth="1"/>
    <col min="38" max="38" width="8.7109375" style="1" customWidth="1"/>
    <col min="39" max="39" width="9" customWidth="1"/>
    <col min="40" max="40" width="9" style="1" customWidth="1"/>
    <col min="41" max="41" width="9.85546875" customWidth="1"/>
    <col min="42" max="42" width="7.85546875" style="1" customWidth="1"/>
    <col min="43" max="43" width="6.42578125" customWidth="1"/>
    <col min="44" max="44" width="33.85546875" customWidth="1"/>
    <col min="45" max="45" width="5" customWidth="1"/>
    <col min="46" max="46" width="11.28515625" customWidth="1"/>
    <col min="47" max="51" width="11.42578125" customWidth="1"/>
    <col min="54" max="54" width="15.7109375" bestFit="1" customWidth="1"/>
  </cols>
  <sheetData>
    <row r="1" spans="2:54" ht="6.75" customHeight="1" x14ac:dyDescent="0.3">
      <c r="N1"/>
      <c r="V1" s="2"/>
      <c r="W1" s="2"/>
      <c r="X1" s="2"/>
      <c r="Y1" s="2"/>
    </row>
    <row r="2" spans="2:54" ht="30" customHeight="1" x14ac:dyDescent="0.25">
      <c r="B2" s="36" t="s">
        <v>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G2"/>
      <c r="AI2"/>
      <c r="AJ2"/>
      <c r="AK2"/>
      <c r="AL2"/>
      <c r="AN2"/>
      <c r="AP2"/>
    </row>
    <row r="3" spans="2:54" ht="18.95" customHeight="1" x14ac:dyDescent="0.25">
      <c r="N3"/>
      <c r="AF3" s="73"/>
      <c r="AH3" s="20" t="s">
        <v>15</v>
      </c>
      <c r="AI3" s="20" t="s">
        <v>16</v>
      </c>
      <c r="AL3"/>
      <c r="AN3"/>
      <c r="AP3"/>
    </row>
    <row r="4" spans="2:54" ht="18.95" customHeight="1" thickBot="1" x14ac:dyDescent="0.4">
      <c r="B4" s="89" t="s">
        <v>1</v>
      </c>
      <c r="C4" s="89"/>
      <c r="D4" s="89"/>
      <c r="E4" s="89"/>
      <c r="F4" s="89"/>
      <c r="G4" s="3"/>
      <c r="J4"/>
      <c r="K4"/>
      <c r="L4" s="52"/>
      <c r="M4" s="53"/>
      <c r="N4" s="91" t="s">
        <v>2</v>
      </c>
      <c r="O4" s="54"/>
      <c r="Q4" s="55"/>
      <c r="R4"/>
      <c r="S4"/>
      <c r="T4"/>
      <c r="U4"/>
      <c r="V4"/>
      <c r="W4"/>
      <c r="X4"/>
      <c r="Y4"/>
      <c r="Z4"/>
      <c r="AA4"/>
      <c r="AB4"/>
      <c r="AC4"/>
      <c r="AD4"/>
      <c r="AE4" s="52"/>
      <c r="AF4" s="73"/>
      <c r="AH4" s="20">
        <v>1</v>
      </c>
      <c r="AI4" s="20">
        <v>615</v>
      </c>
      <c r="AL4"/>
      <c r="AN4"/>
      <c r="AP4"/>
    </row>
    <row r="5" spans="2:54" ht="18.95" customHeight="1" thickBot="1" x14ac:dyDescent="0.4">
      <c r="B5" s="90" t="s">
        <v>3</v>
      </c>
      <c r="C5" s="90"/>
      <c r="D5" s="4"/>
      <c r="E5" s="90" t="s">
        <v>4</v>
      </c>
      <c r="F5" s="90"/>
      <c r="G5" s="3"/>
      <c r="I5" s="90" t="s">
        <v>5</v>
      </c>
      <c r="J5" s="90"/>
      <c r="K5" s="90"/>
      <c r="M5" s="5"/>
      <c r="N5" s="92"/>
      <c r="O5" s="6"/>
      <c r="R5"/>
      <c r="S5"/>
      <c r="T5"/>
      <c r="U5"/>
      <c r="V5"/>
      <c r="W5"/>
      <c r="X5"/>
      <c r="Y5"/>
      <c r="Z5"/>
      <c r="AA5"/>
      <c r="AB5"/>
      <c r="AC5"/>
      <c r="AD5"/>
      <c r="AH5" s="20">
        <v>1.25</v>
      </c>
      <c r="AI5" s="20">
        <v>770</v>
      </c>
      <c r="AL5"/>
      <c r="AN5"/>
      <c r="AP5"/>
    </row>
    <row r="6" spans="2:54" ht="18.95" customHeight="1" thickBot="1" x14ac:dyDescent="0.3">
      <c r="B6" s="93">
        <v>21</v>
      </c>
      <c r="C6" s="94"/>
      <c r="D6" s="97"/>
      <c r="E6" s="93">
        <v>29.7</v>
      </c>
      <c r="F6" s="94"/>
      <c r="G6" s="3"/>
      <c r="I6" s="93">
        <v>300</v>
      </c>
      <c r="J6" s="102"/>
      <c r="K6" s="94"/>
      <c r="M6" s="5"/>
      <c r="N6" s="98">
        <v>128</v>
      </c>
      <c r="O6" s="6"/>
      <c r="R6" s="100" t="s">
        <v>6</v>
      </c>
      <c r="S6" s="101"/>
      <c r="T6"/>
      <c r="U6" s="57" t="s">
        <v>7</v>
      </c>
      <c r="V6" s="58"/>
      <c r="W6" s="58"/>
      <c r="X6" s="59"/>
      <c r="Y6"/>
      <c r="Z6" s="63" t="s">
        <v>8</v>
      </c>
      <c r="AA6" s="64"/>
      <c r="AB6" s="64"/>
      <c r="AC6"/>
      <c r="AD6"/>
      <c r="AH6" s="20">
        <v>1.5</v>
      </c>
      <c r="AI6" s="20">
        <v>920</v>
      </c>
      <c r="AL6"/>
      <c r="AN6"/>
      <c r="AP6"/>
    </row>
    <row r="7" spans="2:54" ht="18.95" customHeight="1" thickBot="1" x14ac:dyDescent="0.3">
      <c r="B7" s="95"/>
      <c r="C7" s="96"/>
      <c r="D7" s="97"/>
      <c r="E7" s="95"/>
      <c r="F7" s="96"/>
      <c r="G7" s="3"/>
      <c r="I7" s="95"/>
      <c r="J7" s="103"/>
      <c r="K7" s="96"/>
      <c r="M7" s="5"/>
      <c r="N7" s="99"/>
      <c r="O7" s="6"/>
      <c r="R7" s="60">
        <f>IF(K11=0,0,(IF(K11&lt;4,4,(ROUNDDOWN(K11,0)+IF((MOD(K11,ROUNDDOWN(K11,0))&lt;0.5),0.5,1)))))</f>
        <v>8</v>
      </c>
      <c r="S7" s="62"/>
      <c r="T7"/>
      <c r="U7" s="60">
        <f>IF(K11=0,0,(IF(M11&lt;4,4,(ROUNDDOWN(M11,0)+IF((MOD(M11,ROUNDDOWN(M11,0))&lt;0.5),0.5,1)))))</f>
        <v>9</v>
      </c>
      <c r="V7" s="61"/>
      <c r="W7" s="61"/>
      <c r="X7" s="62"/>
      <c r="Y7"/>
      <c r="Z7" s="65">
        <f>IF(K11=0,0,(IF(Y11&lt;8,8,(ROUNDDOWN(Y11,0)+IF((MOD(Y11,ROUNDDOWN(Y11,0))&lt;0.5),0.5,1)))))</f>
        <v>14</v>
      </c>
      <c r="AA7" s="66"/>
      <c r="AB7" s="67"/>
      <c r="AC7"/>
      <c r="AD7"/>
      <c r="AH7" s="20">
        <v>1.75</v>
      </c>
      <c r="AI7" s="20">
        <v>1075</v>
      </c>
      <c r="AL7"/>
      <c r="AN7"/>
      <c r="AP7"/>
    </row>
    <row r="8" spans="2:54" ht="18.95" customHeight="1" x14ac:dyDescent="0.25">
      <c r="G8" s="3"/>
      <c r="J8"/>
      <c r="K8"/>
      <c r="M8" s="5"/>
      <c r="N8"/>
      <c r="O8" s="6"/>
      <c r="R8"/>
      <c r="S8"/>
      <c r="T8"/>
      <c r="U8"/>
      <c r="V8"/>
      <c r="W8"/>
      <c r="X8"/>
      <c r="Y8"/>
      <c r="Z8"/>
      <c r="AA8"/>
      <c r="AB8"/>
      <c r="AC8"/>
      <c r="AD8"/>
      <c r="AH8" s="20">
        <v>2</v>
      </c>
      <c r="AI8" s="20">
        <v>1230</v>
      </c>
      <c r="AL8"/>
      <c r="AN8"/>
      <c r="AP8"/>
    </row>
    <row r="9" spans="2:54" ht="18.95" customHeight="1" thickBot="1" x14ac:dyDescent="0.3">
      <c r="B9" s="46" t="s">
        <v>9</v>
      </c>
      <c r="C9" s="46"/>
      <c r="D9" s="46"/>
      <c r="E9" s="46"/>
      <c r="F9" s="46"/>
      <c r="G9" s="123"/>
      <c r="H9" s="46"/>
      <c r="I9" s="50"/>
      <c r="J9" s="50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9"/>
      <c r="AH9" s="20">
        <v>2.25</v>
      </c>
      <c r="AI9" s="20">
        <v>1385</v>
      </c>
      <c r="AL9"/>
      <c r="AN9"/>
      <c r="AP9"/>
    </row>
    <row r="10" spans="2:54" s="14" customFormat="1" ht="18.95" customHeight="1" thickBot="1" x14ac:dyDescent="0.3">
      <c r="B10" s="87" t="s">
        <v>10</v>
      </c>
      <c r="C10" s="88"/>
      <c r="E10" s="87" t="s">
        <v>11</v>
      </c>
      <c r="F10" s="88"/>
      <c r="G10" s="124"/>
      <c r="H10"/>
      <c r="I10" s="47"/>
      <c r="J10" s="51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 t="s">
        <v>4</v>
      </c>
      <c r="W10" s="47"/>
      <c r="X10" s="47"/>
      <c r="Y10" s="47"/>
      <c r="Z10" s="47"/>
      <c r="AA10" s="47"/>
      <c r="AB10" s="47"/>
      <c r="AC10" s="47"/>
      <c r="AD10" s="49"/>
      <c r="AE10" s="15"/>
      <c r="AF10" s="15"/>
      <c r="AG10" s="1"/>
      <c r="AH10" s="20">
        <v>2.5</v>
      </c>
      <c r="AI10" s="20">
        <v>1540</v>
      </c>
      <c r="AJ10" s="1"/>
      <c r="AK10" s="1"/>
      <c r="AP10" s="15"/>
    </row>
    <row r="11" spans="2:54" s="18" customFormat="1" ht="18.95" customHeight="1" x14ac:dyDescent="0.25">
      <c r="B11" s="85" t="s">
        <v>12</v>
      </c>
      <c r="C11" s="86"/>
      <c r="D11" s="16"/>
      <c r="E11" s="85">
        <v>135</v>
      </c>
      <c r="F11" s="86"/>
      <c r="G11" s="125"/>
      <c r="H11"/>
      <c r="I11" s="129"/>
      <c r="J11" s="130"/>
      <c r="K11" s="129">
        <f>N6*AG16</f>
        <v>7.6032000000000002</v>
      </c>
      <c r="L11" s="129"/>
      <c r="M11" s="131">
        <f>K11*1.15</f>
        <v>8.7436799999999995</v>
      </c>
      <c r="N11" s="131"/>
      <c r="O11" s="129"/>
      <c r="P11" s="129"/>
      <c r="Q11" s="129"/>
      <c r="R11" s="129"/>
      <c r="S11" s="132">
        <f>S22+T22+W22+X21+Y22+Z22+S22</f>
        <v>484</v>
      </c>
      <c r="T11" s="129"/>
      <c r="U11" s="129" t="s">
        <v>13</v>
      </c>
      <c r="V11" s="129">
        <f>AC19+AC18*2</f>
        <v>344</v>
      </c>
      <c r="W11" s="129"/>
      <c r="X11" s="129"/>
      <c r="Y11" s="129">
        <f>ROUNDUP(K11+F21*2+1,1)</f>
        <v>13.7</v>
      </c>
      <c r="Z11" s="129"/>
      <c r="AA11" s="129"/>
      <c r="AB11" s="129"/>
      <c r="AC11" s="129"/>
      <c r="AD11" s="129"/>
      <c r="AE11" s="17"/>
      <c r="AF11" s="17"/>
      <c r="AG11" s="1"/>
      <c r="AH11" s="20">
        <v>2.75</v>
      </c>
      <c r="AI11" s="20">
        <v>1690</v>
      </c>
      <c r="AJ11" s="1"/>
      <c r="AK11" s="1"/>
      <c r="AL11" s="17"/>
      <c r="AN11" s="17"/>
      <c r="AP11" s="17"/>
      <c r="AZ11" s="45"/>
      <c r="BA11" s="45"/>
      <c r="BB11" s="45"/>
    </row>
    <row r="12" spans="2:54" ht="18.95" customHeight="1" x14ac:dyDescent="0.25">
      <c r="B12" s="73"/>
      <c r="C12" s="73"/>
      <c r="E12" s="73"/>
      <c r="F12" s="73"/>
      <c r="J12" s="73"/>
      <c r="K12" s="73"/>
      <c r="L12"/>
      <c r="M12" s="73"/>
      <c r="N12" s="73"/>
      <c r="O12" s="73"/>
      <c r="P12" s="73"/>
      <c r="R12" s="8"/>
      <c r="S12" s="8"/>
      <c r="T12" s="8"/>
      <c r="U12" s="8"/>
      <c r="V12"/>
      <c r="W12"/>
      <c r="X12"/>
      <c r="Y12"/>
      <c r="Z12"/>
      <c r="AA12"/>
      <c r="AB12"/>
      <c r="AC12"/>
      <c r="AD12"/>
      <c r="AH12" s="20">
        <v>3</v>
      </c>
      <c r="AI12" s="20">
        <v>1845</v>
      </c>
      <c r="AJ12" s="126">
        <f>LOOKUP($F$21,$AH$4:$AH$12,$AI$4:$AI$12)</f>
        <v>1540</v>
      </c>
    </row>
    <row r="13" spans="2:54" ht="18.95" customHeight="1" x14ac:dyDescent="0.3">
      <c r="B13" s="84" t="s">
        <v>14</v>
      </c>
      <c r="C13" s="84"/>
      <c r="D13" s="84"/>
      <c r="E13" s="84"/>
      <c r="F13" s="84"/>
      <c r="G13" s="84"/>
      <c r="H13" s="84"/>
      <c r="I13" s="84"/>
      <c r="J13" s="84"/>
      <c r="K13" s="84"/>
      <c r="L13" s="13"/>
      <c r="M13" s="13"/>
      <c r="N13" s="13"/>
      <c r="O13" s="13"/>
      <c r="P13" s="13"/>
      <c r="R13"/>
      <c r="S13"/>
      <c r="T13"/>
      <c r="U13"/>
      <c r="V13"/>
      <c r="W13"/>
      <c r="X13"/>
      <c r="Y13"/>
      <c r="Z13" s="19"/>
      <c r="AA13" s="128"/>
      <c r="AB13" s="128"/>
      <c r="AC13" s="128"/>
      <c r="AD13"/>
    </row>
    <row r="14" spans="2:54" ht="18.95" customHeight="1" x14ac:dyDescent="0.3">
      <c r="B14" s="68" t="s">
        <v>17</v>
      </c>
      <c r="C14" s="68"/>
      <c r="D14" s="68"/>
      <c r="E14" s="68"/>
      <c r="F14" s="68"/>
      <c r="G14" s="68"/>
      <c r="H14" s="68"/>
      <c r="I14" s="68"/>
      <c r="J14" s="68"/>
      <c r="K14" s="68"/>
      <c r="L14"/>
      <c r="M14" s="104">
        <f>($B$6*$E$6*$E$11/20000)*$N$6</f>
        <v>538.87679999999989</v>
      </c>
      <c r="N14" s="105"/>
      <c r="O14" s="105"/>
      <c r="P14" s="106"/>
      <c r="R14"/>
      <c r="S14"/>
      <c r="T14"/>
      <c r="U14"/>
      <c r="V14"/>
      <c r="W14"/>
      <c r="X14"/>
      <c r="Y14"/>
    </row>
    <row r="15" spans="2:54" ht="18.95" customHeight="1" thickBot="1" x14ac:dyDescent="0.4">
      <c r="B15" s="68" t="s">
        <v>18</v>
      </c>
      <c r="C15" s="68"/>
      <c r="D15" s="68"/>
      <c r="E15" s="68"/>
      <c r="F15" s="68"/>
      <c r="G15" s="68"/>
      <c r="H15" s="68"/>
      <c r="I15" s="68"/>
      <c r="J15" s="68"/>
      <c r="K15" s="68"/>
      <c r="L15"/>
      <c r="M15" s="107">
        <f>AH16+AI16</f>
        <v>47.171832364800004</v>
      </c>
      <c r="N15" s="108"/>
      <c r="O15" s="108"/>
      <c r="P15" s="109"/>
      <c r="R15"/>
      <c r="S15"/>
      <c r="T15"/>
      <c r="U15"/>
      <c r="V15"/>
      <c r="W15"/>
      <c r="X15"/>
      <c r="Y15"/>
      <c r="AG15" s="33" t="s">
        <v>34</v>
      </c>
      <c r="AH15" s="33" t="s">
        <v>35</v>
      </c>
      <c r="AI15" s="34" t="s">
        <v>36</v>
      </c>
    </row>
    <row r="16" spans="2:54" ht="18.95" customHeight="1" thickBot="1" x14ac:dyDescent="0.4">
      <c r="B16" s="68" t="s">
        <v>19</v>
      </c>
      <c r="C16" s="68"/>
      <c r="D16" s="68"/>
      <c r="E16" s="68"/>
      <c r="F16" s="68"/>
      <c r="G16" s="68"/>
      <c r="H16" s="68"/>
      <c r="I16" s="68"/>
      <c r="J16" s="68"/>
      <c r="K16" s="68"/>
      <c r="M16" s="110">
        <f>SUM(M14:P15)</f>
        <v>586.04863236479991</v>
      </c>
      <c r="N16" s="111"/>
      <c r="O16" s="111"/>
      <c r="P16" s="112"/>
      <c r="R16" s="8" t="s">
        <v>20</v>
      </c>
      <c r="S16" s="63" t="s">
        <v>41</v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G16" s="17">
        <f>IF(B11="O",LOOKUP(E11,AG18:AG28,AH18:AH28),IF(B11="b",LOOKUP(E11,AG18:AG28,AI18:AI28),IF(B11="m",LOOKUP(E11,AG18:AG28,AJ18:AJ28))))</f>
        <v>5.9400000000000001E-2</v>
      </c>
      <c r="AH16" s="35">
        <f>IF(B8="",(B6*2+M11)*E6*I6/10000,(B6*4-3+M11)*E6*I6/10000)</f>
        <v>45.212618880000001</v>
      </c>
      <c r="AI16" s="17">
        <f>IF(B8="",(B6*2+M11)*E6*13/10000,(B6*4-3+M11)*E6*13/10000)</f>
        <v>1.9592134847999998</v>
      </c>
    </row>
    <row r="17" spans="2:42" ht="18.95" customHeight="1" x14ac:dyDescent="0.3">
      <c r="B17" s="21"/>
      <c r="C17" s="22"/>
      <c r="D17" s="22"/>
      <c r="E17" s="22"/>
      <c r="F17" s="22"/>
      <c r="G17" s="22"/>
      <c r="H17" s="22"/>
      <c r="I17" s="22"/>
      <c r="J17" s="22"/>
      <c r="K17" s="22"/>
      <c r="M17" s="113"/>
      <c r="N17" s="113"/>
      <c r="O17" s="113"/>
      <c r="P17" s="113"/>
      <c r="R17" s="8"/>
      <c r="X17" s="127">
        <f>S11</f>
        <v>484</v>
      </c>
      <c r="AG17" s="137" t="s">
        <v>37</v>
      </c>
      <c r="AH17" s="138" t="s">
        <v>38</v>
      </c>
      <c r="AI17" s="138" t="s">
        <v>39</v>
      </c>
      <c r="AJ17" s="139" t="s">
        <v>40</v>
      </c>
    </row>
    <row r="18" spans="2:42" ht="18.95" customHeight="1" thickBot="1" x14ac:dyDescent="0.4">
      <c r="B18" s="70" t="s">
        <v>21</v>
      </c>
      <c r="C18" s="70"/>
      <c r="D18" s="70"/>
      <c r="E18" s="70"/>
      <c r="F18" s="70"/>
      <c r="G18" s="70"/>
      <c r="H18" s="70"/>
      <c r="I18" s="70"/>
      <c r="J18" s="70"/>
      <c r="K18" s="70"/>
      <c r="L18" s="22"/>
      <c r="M18" s="114"/>
      <c r="N18" s="114"/>
      <c r="O18" s="114"/>
      <c r="P18" s="114"/>
      <c r="R18" s="8"/>
      <c r="S18" s="71" t="s">
        <v>22</v>
      </c>
      <c r="T18" s="72"/>
      <c r="U18" s="72"/>
      <c r="V18" s="72"/>
      <c r="W18" s="72"/>
      <c r="X18" s="23"/>
      <c r="Y18" s="23"/>
      <c r="Z18" s="23"/>
      <c r="AA18" s="23"/>
      <c r="AB18" s="23"/>
      <c r="AC18" s="24">
        <v>20</v>
      </c>
      <c r="AG18" s="133">
        <v>70</v>
      </c>
      <c r="AH18" s="121">
        <v>4.8800000000000003E-2</v>
      </c>
      <c r="AI18" s="121">
        <v>0</v>
      </c>
      <c r="AJ18" s="135">
        <v>0</v>
      </c>
    </row>
    <row r="19" spans="2:42" ht="18.95" customHeight="1" x14ac:dyDescent="0.3">
      <c r="B19" s="68" t="s">
        <v>23</v>
      </c>
      <c r="C19" s="68"/>
      <c r="D19" s="68"/>
      <c r="E19" s="68"/>
      <c r="F19" s="68"/>
      <c r="G19" s="68"/>
      <c r="H19" s="68"/>
      <c r="I19" s="68"/>
      <c r="J19" s="68"/>
      <c r="K19" s="68"/>
      <c r="L19"/>
      <c r="M19" s="104">
        <f>($B$6*$E$6*$E$11/20000)*$N$6</f>
        <v>538.87679999999989</v>
      </c>
      <c r="N19" s="105"/>
      <c r="O19" s="105"/>
      <c r="P19" s="106"/>
      <c r="R19" s="8"/>
      <c r="S19" s="25"/>
      <c r="T19" s="37"/>
      <c r="U19" s="38"/>
      <c r="V19" s="39"/>
      <c r="W19" s="77" t="s">
        <v>24</v>
      </c>
      <c r="X19" s="40" t="s">
        <v>25</v>
      </c>
      <c r="Y19" s="77" t="s">
        <v>24</v>
      </c>
      <c r="Z19" s="37"/>
      <c r="AA19" s="38"/>
      <c r="AB19" s="39"/>
      <c r="AC19" s="78">
        <f>IF(E6="","",E6*10+7)</f>
        <v>304</v>
      </c>
      <c r="AG19" s="134">
        <v>80</v>
      </c>
      <c r="AH19" s="122">
        <v>5.3800000000000001E-2</v>
      </c>
      <c r="AI19" s="122">
        <v>0</v>
      </c>
      <c r="AJ19" s="136">
        <v>0</v>
      </c>
    </row>
    <row r="20" spans="2:42" ht="18.95" customHeight="1" x14ac:dyDescent="0.35">
      <c r="B20" s="68" t="s">
        <v>26</v>
      </c>
      <c r="C20" s="68"/>
      <c r="D20" s="68"/>
      <c r="E20" s="68"/>
      <c r="F20" s="68"/>
      <c r="G20" s="68"/>
      <c r="H20" s="68"/>
      <c r="I20" s="68"/>
      <c r="J20" s="68"/>
      <c r="K20" s="68"/>
      <c r="L20"/>
      <c r="M20" s="107">
        <f>(S11*V11)*163/1000000</f>
        <v>27.138847999999999</v>
      </c>
      <c r="N20" s="108"/>
      <c r="O20" s="108"/>
      <c r="P20" s="109"/>
      <c r="R20" s="8"/>
      <c r="S20" s="25"/>
      <c r="T20" s="79" t="s">
        <v>27</v>
      </c>
      <c r="U20" s="80"/>
      <c r="V20" s="81"/>
      <c r="W20" s="77"/>
      <c r="X20" s="56"/>
      <c r="Y20" s="77"/>
      <c r="Z20" s="79" t="s">
        <v>28</v>
      </c>
      <c r="AA20" s="80"/>
      <c r="AB20" s="81"/>
      <c r="AC20" s="78"/>
      <c r="AD20" s="127">
        <f>V11</f>
        <v>344</v>
      </c>
      <c r="AG20" s="133">
        <v>90</v>
      </c>
      <c r="AH20" s="121">
        <v>5.9400000000000001E-2</v>
      </c>
      <c r="AI20" s="121">
        <v>3.44E-2</v>
      </c>
      <c r="AJ20" s="135">
        <v>3.9399999999999998E-2</v>
      </c>
    </row>
    <row r="21" spans="2:42" ht="18.95" customHeight="1" x14ac:dyDescent="0.35">
      <c r="B21" s="21" t="s">
        <v>29</v>
      </c>
      <c r="C21" s="21"/>
      <c r="D21" s="21"/>
      <c r="E21" s="21"/>
      <c r="F21" s="48">
        <v>2.5</v>
      </c>
      <c r="G21" s="69" t="s">
        <v>30</v>
      </c>
      <c r="H21" s="68"/>
      <c r="I21" s="68"/>
      <c r="J21" s="68"/>
      <c r="K21" s="68"/>
      <c r="L21"/>
      <c r="M21" s="104">
        <f>((T22+X21+Z22)*AC19*AJ12)/1000000</f>
        <v>198.49984000000001</v>
      </c>
      <c r="N21" s="105"/>
      <c r="O21" s="105"/>
      <c r="P21" s="106"/>
      <c r="R21" s="8"/>
      <c r="S21" s="26"/>
      <c r="T21" s="41"/>
      <c r="U21" s="42"/>
      <c r="V21" s="43"/>
      <c r="W21" s="77"/>
      <c r="X21" s="82">
        <f>Z7</f>
        <v>14</v>
      </c>
      <c r="Y21" s="77"/>
      <c r="Z21" s="41"/>
      <c r="AA21" s="42"/>
      <c r="AB21" s="43"/>
      <c r="AC21" s="78"/>
      <c r="AG21" s="133">
        <v>100</v>
      </c>
      <c r="AH21" s="121">
        <v>6.4399999999999999E-2</v>
      </c>
      <c r="AI21" s="121">
        <v>3.6900000000000002E-2</v>
      </c>
      <c r="AJ21" s="135">
        <v>4.3099999999999999E-2</v>
      </c>
    </row>
    <row r="22" spans="2:42" ht="18.95" customHeight="1" thickBot="1" x14ac:dyDescent="0.4">
      <c r="B22" s="21" t="s">
        <v>31</v>
      </c>
      <c r="C22" s="21"/>
      <c r="D22" s="21"/>
      <c r="E22" s="21"/>
      <c r="F22" s="48">
        <v>140</v>
      </c>
      <c r="G22" s="69" t="s">
        <v>32</v>
      </c>
      <c r="H22" s="68"/>
      <c r="I22" s="68"/>
      <c r="J22" s="68"/>
      <c r="K22" s="68"/>
      <c r="L22"/>
      <c r="M22" s="115">
        <f>((B6*E6)*4)*F22/10000</f>
        <v>34.927199999999992</v>
      </c>
      <c r="N22" s="116"/>
      <c r="O22" s="116"/>
      <c r="P22" s="117"/>
      <c r="R22" s="8"/>
      <c r="S22" s="27">
        <v>20</v>
      </c>
      <c r="T22" s="74">
        <f>IF(B6="","",B6*10-5)</f>
        <v>205</v>
      </c>
      <c r="U22" s="75"/>
      <c r="V22" s="76"/>
      <c r="W22" s="44">
        <f>(F21+5)+2.5</f>
        <v>10</v>
      </c>
      <c r="X22" s="83"/>
      <c r="Y22" s="44">
        <f>W22</f>
        <v>10</v>
      </c>
      <c r="Z22" s="74">
        <f>T22</f>
        <v>205</v>
      </c>
      <c r="AA22" s="75"/>
      <c r="AB22" s="76"/>
      <c r="AC22" s="78"/>
      <c r="AD22" s="8"/>
      <c r="AG22" s="133">
        <v>110</v>
      </c>
      <c r="AH22" s="121">
        <v>7.3800000000000004E-2</v>
      </c>
      <c r="AI22" s="121">
        <v>4.1000000000000002E-2</v>
      </c>
      <c r="AJ22" s="135">
        <v>4.8500000000000001E-2</v>
      </c>
    </row>
    <row r="23" spans="2:42" ht="18.95" customHeight="1" thickBot="1" x14ac:dyDescent="0.4">
      <c r="B23" s="68" t="s">
        <v>33</v>
      </c>
      <c r="C23" s="68"/>
      <c r="D23" s="68"/>
      <c r="E23" s="68"/>
      <c r="F23" s="68"/>
      <c r="G23" s="68"/>
      <c r="H23" s="68"/>
      <c r="I23" s="68"/>
      <c r="J23" s="68"/>
      <c r="K23" s="68"/>
      <c r="L23"/>
      <c r="M23" s="118">
        <f>SUM(M19:P22)</f>
        <v>799.44268799999998</v>
      </c>
      <c r="N23" s="119"/>
      <c r="O23" s="119"/>
      <c r="P23" s="120"/>
      <c r="R23" s="8"/>
      <c r="S23" s="28"/>
      <c r="T23" s="29"/>
      <c r="U23" s="29"/>
      <c r="V23" s="29"/>
      <c r="W23" s="29"/>
      <c r="X23" s="29"/>
      <c r="Y23" s="29"/>
      <c r="Z23" s="29"/>
      <c r="AA23" s="29"/>
      <c r="AB23" s="29"/>
      <c r="AC23" s="30"/>
      <c r="AD23" s="8"/>
      <c r="AG23" s="133">
        <v>115</v>
      </c>
      <c r="AH23" s="121">
        <v>7.7549999999999994E-2</v>
      </c>
      <c r="AI23" s="121">
        <v>4.41E-2</v>
      </c>
      <c r="AJ23" s="135">
        <v>5.1299999999999998E-2</v>
      </c>
    </row>
    <row r="24" spans="2:42" ht="18.95" customHeight="1" thickBot="1" x14ac:dyDescent="0.3">
      <c r="B24" s="9"/>
      <c r="C24" s="10"/>
      <c r="D24" s="10"/>
      <c r="E24" s="10"/>
      <c r="F24" s="9"/>
      <c r="G24" s="9"/>
      <c r="H24" s="9"/>
      <c r="I24" s="9"/>
      <c r="J24" s="11"/>
      <c r="K24" s="11"/>
      <c r="L24" s="11"/>
      <c r="M24" s="11"/>
      <c r="N24" s="11"/>
      <c r="O24" s="11"/>
      <c r="P24" s="11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G24" s="133">
        <v>120</v>
      </c>
      <c r="AH24" s="121">
        <v>8.1299999999999997E-2</v>
      </c>
      <c r="AI24" s="121">
        <v>4.6199999999999998E-2</v>
      </c>
      <c r="AJ24" s="135">
        <v>5.3100000000000001E-2</v>
      </c>
    </row>
    <row r="25" spans="2:42" ht="18.95" customHeight="1" x14ac:dyDescent="0.25">
      <c r="C25" s="7"/>
      <c r="D25" s="7"/>
      <c r="E25" s="7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G25" s="133">
        <v>125</v>
      </c>
      <c r="AH25" s="121">
        <v>0</v>
      </c>
      <c r="AI25" s="121">
        <v>4.7500000000000001E-2</v>
      </c>
      <c r="AJ25" s="135">
        <v>5.3800000000000001E-2</v>
      </c>
    </row>
    <row r="26" spans="2:42" ht="21.75" customHeight="1" x14ac:dyDescent="0.25">
      <c r="AG26" s="133">
        <v>135</v>
      </c>
      <c r="AH26" s="121">
        <v>0</v>
      </c>
      <c r="AI26" s="121">
        <v>5.1299999999999998E-2</v>
      </c>
      <c r="AJ26" s="135">
        <v>5.9400000000000001E-2</v>
      </c>
      <c r="AO26" s="31"/>
      <c r="AP26" s="32"/>
    </row>
    <row r="27" spans="2:42" ht="21.75" customHeight="1" x14ac:dyDescent="0.25">
      <c r="AG27" s="133">
        <v>150</v>
      </c>
      <c r="AH27" s="121">
        <v>0</v>
      </c>
      <c r="AI27" s="121">
        <v>0.06</v>
      </c>
      <c r="AJ27" s="135">
        <v>6.4399999999999999E-2</v>
      </c>
      <c r="AO27" s="31"/>
      <c r="AP27" s="32"/>
    </row>
    <row r="28" spans="2:42" x14ac:dyDescent="0.25">
      <c r="AG28" s="140">
        <v>170</v>
      </c>
      <c r="AH28" s="141">
        <v>0</v>
      </c>
      <c r="AI28" s="141">
        <v>6.3100000000000003E-2</v>
      </c>
      <c r="AJ28" s="142">
        <v>7.2499999999999995E-2</v>
      </c>
    </row>
  </sheetData>
  <sheetProtection selectLockedCells="1"/>
  <mergeCells count="54">
    <mergeCell ref="B6:C7"/>
    <mergeCell ref="D6:D7"/>
    <mergeCell ref="E6:F7"/>
    <mergeCell ref="N6:N7"/>
    <mergeCell ref="R6:S6"/>
    <mergeCell ref="I6:K7"/>
    <mergeCell ref="AF3:AF4"/>
    <mergeCell ref="B4:F4"/>
    <mergeCell ref="B5:C5"/>
    <mergeCell ref="E5:F5"/>
    <mergeCell ref="I5:K5"/>
    <mergeCell ref="N4:N5"/>
    <mergeCell ref="B11:C11"/>
    <mergeCell ref="E11:F11"/>
    <mergeCell ref="B10:C10"/>
    <mergeCell ref="E10:F10"/>
    <mergeCell ref="B12:C12"/>
    <mergeCell ref="E12:F12"/>
    <mergeCell ref="J12:K12"/>
    <mergeCell ref="M12:P12"/>
    <mergeCell ref="B13:K13"/>
    <mergeCell ref="T22:V22"/>
    <mergeCell ref="Z22:AB22"/>
    <mergeCell ref="M23:P23"/>
    <mergeCell ref="Y19:Y21"/>
    <mergeCell ref="AC19:AC22"/>
    <mergeCell ref="M20:P20"/>
    <mergeCell ref="T20:V20"/>
    <mergeCell ref="Z20:AB20"/>
    <mergeCell ref="M21:P21"/>
    <mergeCell ref="X21:X22"/>
    <mergeCell ref="M19:P19"/>
    <mergeCell ref="W19:W21"/>
    <mergeCell ref="M16:P16"/>
    <mergeCell ref="R7:S7"/>
    <mergeCell ref="B23:K23"/>
    <mergeCell ref="G22:K22"/>
    <mergeCell ref="G21:K21"/>
    <mergeCell ref="B20:K20"/>
    <mergeCell ref="M22:P22"/>
    <mergeCell ref="B16:K16"/>
    <mergeCell ref="B18:K18"/>
    <mergeCell ref="S18:W18"/>
    <mergeCell ref="B19:K19"/>
    <mergeCell ref="B14:K14"/>
    <mergeCell ref="M14:P14"/>
    <mergeCell ref="B15:K15"/>
    <mergeCell ref="M15:P15"/>
    <mergeCell ref="M11:N11"/>
    <mergeCell ref="U6:X6"/>
    <mergeCell ref="U7:X7"/>
    <mergeCell ref="Z6:AB6"/>
    <mergeCell ref="Z7:AB7"/>
    <mergeCell ref="S16:AC16"/>
  </mergeCells>
  <conditionalFormatting sqref="S16">
    <cfRule type="cellIs" dxfId="8" priority="1" stopIfTrue="1" operator="notEqual">
      <formula>""</formula>
    </cfRule>
  </conditionalFormatting>
  <conditionalFormatting sqref="Z6">
    <cfRule type="cellIs" dxfId="7" priority="2" stopIfTrue="1" operator="notEqual">
      <formula>""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99" orientation="landscape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6555D0F9712F44BEA5502C4AB67308" ma:contentTypeVersion="2" ma:contentTypeDescription="Crear nuevo documento." ma:contentTypeScope="" ma:versionID="4d2fbcf4092609008772e77b89c08216">
  <xsd:schema xmlns:xsd="http://www.w3.org/2001/XMLSchema" xmlns:xs="http://www.w3.org/2001/XMLSchema" xmlns:p="http://schemas.microsoft.com/office/2006/metadata/properties" xmlns:ns2="7d98d4fc-75fc-4a62-a3e6-1534dd67fa35" targetNamespace="http://schemas.microsoft.com/office/2006/metadata/properties" ma:root="true" ma:fieldsID="ae0f0ab39e3de5da5f077bfb1e25ca40" ns2:_="">
    <xsd:import namespace="7d98d4fc-75fc-4a62-a3e6-1534dd67fa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98d4fc-75fc-4a62-a3e6-1534dd67fa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4CDCB0-FADC-457E-857E-B81B45BDA4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B5BD81-95F8-4E6B-A47C-9F43BE8DB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98d4fc-75fc-4a62-a3e6-1534dd67fa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A8389F-07C4-499C-8496-44A669DE4E06}">
  <ds:schemaRefs>
    <ds:schemaRef ds:uri="http://schemas.microsoft.com/office/2006/metadata/properties"/>
    <ds:schemaRef ds:uri="http://www.w3.org/2000/xmlns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</dc:creator>
  <cp:keywords/>
  <dc:description/>
  <cp:lastModifiedBy>J. Miguel Gallego, ( Calidad Gráfica SL. )</cp:lastModifiedBy>
  <cp:revision/>
  <dcterms:created xsi:type="dcterms:W3CDTF">2012-04-10T13:02:14Z</dcterms:created>
  <dcterms:modified xsi:type="dcterms:W3CDTF">2026-04-06T15:15:18Z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0x010100246555D0F9712F44BEA5502C4AB67308</vt:lpwstr>
  </property>
</Properties>
</file>